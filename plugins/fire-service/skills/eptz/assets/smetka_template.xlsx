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експертизи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#,##0.00&quot; лв&quot;"/>
    <numFmt numFmtId="165" formatCode="#,##0.00\ [$€-1]"/>
    <numFmt numFmtId="166" formatCode="[$€-2]\ #,##0.00"/>
  </numFmts>
  <fonts count="13">
    <font>
      <name val="Arial"/>
      <charset val="204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sz val="16"/>
    </font>
    <font>
      <name val="Times New Roman"/>
      <charset val="204"/>
      <family val="1"/>
      <sz val="12"/>
    </font>
    <font>
      <name val="Times New Roman"/>
      <charset val="204"/>
      <family val="1"/>
      <sz val="20"/>
    </font>
    <font>
      <name val="Times New Roman"/>
      <charset val="204"/>
      <family val="1"/>
      <b val="1"/>
      <sz val="10"/>
    </font>
    <font>
      <name val="Times New Roman"/>
      <charset val="204"/>
      <family val="1"/>
      <sz val="8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  <u val="single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general" vertical="center"/>
    </xf>
    <xf numFmtId="0" fontId="9" fillId="2" borderId="2" applyAlignment="1" pivotButton="0" quotePrefix="0" xfId="0">
      <alignment horizontal="general" vertical="center" wrapText="1"/>
    </xf>
    <xf numFmtId="164" fontId="9" fillId="2" borderId="2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 wrapText="1"/>
    </xf>
    <xf numFmtId="0" fontId="4" fillId="2" borderId="2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3" applyAlignment="1" pivotButton="0" quotePrefix="0" xfId="0">
      <alignment horizontal="left" vertical="center"/>
    </xf>
    <xf numFmtId="165" fontId="9" fillId="2" borderId="2" applyAlignment="1" pivotButton="0" quotePrefix="0" xfId="0">
      <alignment horizontal="center" vertical="center"/>
    </xf>
    <xf numFmtId="0" fontId="9" fillId="2" borderId="4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165" fontId="9" fillId="2" borderId="4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bottom"/>
    </xf>
    <xf numFmtId="0" fontId="7" fillId="2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bottom" wrapText="1"/>
    </xf>
    <xf numFmtId="0" fontId="7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 wrapText="1"/>
    </xf>
    <xf numFmtId="0" fontId="7" fillId="2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 wrapText="1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 wrapText="1"/>
    </xf>
    <xf numFmtId="0" fontId="0" fillId="0" borderId="7" pivotButton="0" quotePrefix="0" xfId="0"/>
    <xf numFmtId="0" fontId="0" fillId="0" borderId="8" pivotButton="0" quotePrefix="0" xfId="0"/>
    <xf numFmtId="164" fontId="4" fillId="2" borderId="2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165" fontId="4" fillId="2" borderId="4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bottom"/>
    </xf>
    <xf numFmtId="0" fontId="0" fillId="0" borderId="5" pivotButton="0" quotePrefix="0" xfId="0"/>
    <xf numFmtId="0" fontId="7" fillId="2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bottom" wrapText="1"/>
    </xf>
    <xf numFmtId="0" fontId="7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 wrapText="1"/>
    </xf>
    <xf numFmtId="0" fontId="7" fillId="2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center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41" customWidth="1" style="43" min="1" max="1"/>
    <col width="45.7" customWidth="1" style="43" min="2" max="2"/>
    <col width="7.56" customWidth="1" style="43" min="3" max="3"/>
    <col width="13.85" customWidth="1" style="43" min="4" max="4"/>
    <col width="11.7" customWidth="1" style="43" min="5" max="5"/>
    <col width="13.7" customWidth="1" style="43" min="6" max="6"/>
    <col width="9.140000000000001" customWidth="1" style="43" min="7" max="257"/>
  </cols>
  <sheetData>
    <row r="1" ht="15" customFormat="1" customHeight="1" s="44">
      <c r="A1" s="45" t="inlineStr">
        <is>
          <t>Приложение № 1</t>
        </is>
      </c>
    </row>
    <row r="2" ht="52" customFormat="1" customHeight="1" s="44">
      <c r="A2" s="46" t="inlineStr">
        <is>
          <r>
            <rPr>
              <rFont val="Times New Roman"/>
              <charset val="204"/>
              <family val="1"/>
              <sz val="16"/>
            </rPr>
            <t xml:space="preserve">МИНИСТЕРСТВО НА ВЪТРЕШНИТЕ РАБОТИ
</t>
          </r>
          <r>
            <rPr>
              <rFont val="Times New Roman"/>
              <charset val="204"/>
              <family val="1"/>
              <sz val="12"/>
            </rPr>
            <t xml:space="preserve">ГЛАВНА ДИРЕКЦИЯ „ПОЖАРНА БЕЗОПАСНОСТ И ЗАЩИТА НА НАСЕЛЕНИЕТО”
</t>
          </r>
          <r>
            <rPr>
              <rFont val="Times New Roman"/>
              <charset val="204"/>
              <family val="1"/>
              <sz val="10"/>
            </rPr>
            <t>РЕГИОНАЛНА ДИРЕКЦИЯ „ПОЖАРНА БЕЗОПАСНОСТ И ЗАЩИТА НА НАСЕЛЕНИЕТО” – ПЛЕВЕН</t>
          </r>
        </is>
      </c>
      <c r="B2" s="47" t="n"/>
      <c r="C2" s="47" t="n"/>
      <c r="D2" s="47" t="n"/>
      <c r="E2" s="47" t="n"/>
      <c r="F2" s="47" t="n"/>
    </row>
    <row r="3" ht="7.5" customFormat="1" customHeight="1" s="44">
      <c r="A3" s="48" t="n"/>
      <c r="B3" s="48" t="n"/>
      <c r="C3" s="48" t="n"/>
      <c r="D3" s="48" t="n"/>
      <c r="E3" s="48" t="n"/>
      <c r="F3" s="48" t="n"/>
    </row>
    <row r="4" ht="15" customFormat="1" customHeight="1" s="44">
      <c r="A4" s="49" t="inlineStr">
        <is>
          <t>рег.№ ………………………., екз.№……</t>
        </is>
      </c>
      <c r="C4" s="48" t="n"/>
      <c r="D4" s="48" t="n"/>
      <c r="E4" s="48" t="n"/>
      <c r="F4" s="48" t="n"/>
    </row>
    <row r="5" ht="15" customFormat="1" customHeight="1" s="44">
      <c r="A5" s="49" t="inlineStr">
        <is>
          <t>……………20……г.</t>
        </is>
      </c>
      <c r="C5" s="48" t="n"/>
      <c r="D5" s="48" t="n"/>
      <c r="E5" s="48" t="n"/>
      <c r="F5" s="48" t="n"/>
    </row>
    <row r="6" ht="18" customFormat="1" customHeight="1" s="44">
      <c r="A6" s="50" t="inlineStr">
        <is>
          <t>С М Е Т К А</t>
        </is>
      </c>
    </row>
    <row r="7" ht="108" customFormat="1" customHeight="1" s="44">
      <c r="A7" s="51" t="inlineStr">
        <is>
          <t>по чл.23, ал.3 от Наредба № H-1/14.02.2023г. за вписването, квалификацията и възнагражденията на вещите лица за направените разходи за труд, консумативи и режийни разноски по експертиза №………….......................….......…../…….…….............. г., назначена от …………………...…………....…….....…… при ………...........……………... с постановление за назначаване на експертиза по ДП/НОХД/гр.дело/адм.дело/изп.дело № ........................ по описа на  ..................................... извършена от инспектор ........................................................................... – инспектор IV ст. в група ОЦ на сектор ПГ и СД към РДПБЗН – Плевен при ГДПБЗН – МВР</t>
        </is>
      </c>
    </row>
    <row r="8" ht="7.5" customHeight="1" s="52">
      <c r="A8" s="53" t="n"/>
      <c r="B8" s="47" t="n"/>
      <c r="C8" s="47" t="n"/>
      <c r="D8" s="47" t="n"/>
      <c r="E8" s="47" t="n"/>
      <c r="F8" s="47" t="n"/>
    </row>
    <row r="9" ht="15" customFormat="1" customHeight="1" s="54">
      <c r="A9" s="55" t="inlineStr">
        <is>
          <t>№</t>
        </is>
      </c>
      <c r="B9" s="55" t="inlineStr">
        <is>
          <t>ВИД РАЗХОД</t>
        </is>
      </c>
      <c r="C9" s="55" t="inlineStr">
        <is>
          <t>МЯРКА</t>
        </is>
      </c>
      <c r="D9" s="55" t="inlineStr">
        <is>
          <t>КОЛИЧЕСТВО</t>
        </is>
      </c>
      <c r="E9" s="56" t="inlineStr">
        <is>
          <t>ЕД. ЦЕНА</t>
        </is>
      </c>
      <c r="F9" s="56" t="inlineStr">
        <is>
          <t>ОБЩА СУМА</t>
        </is>
      </c>
    </row>
    <row r="10" ht="12.75" customFormat="1" customHeight="1" s="44">
      <c r="A10" s="57" t="inlineStr">
        <is>
          <t>1.</t>
        </is>
      </c>
      <c r="B10" s="58" t="inlineStr">
        <is>
          <t>Разходи за труд</t>
        </is>
      </c>
      <c r="C10" s="59" t="n"/>
      <c r="D10" s="59" t="n"/>
      <c r="E10" s="60" t="n"/>
      <c r="F10" s="61" t="n"/>
    </row>
    <row r="11" ht="12.75" customFormat="1" customHeight="1" s="44">
      <c r="A11" s="58" t="inlineStr">
        <is>
          <t>1.1.</t>
        </is>
      </c>
      <c r="B11" s="57" t="inlineStr">
        <is>
          <t>Инспектор VI - IV степен</t>
        </is>
      </c>
      <c r="C11" s="62" t="inlineStr">
        <is>
          <t>час</t>
        </is>
      </c>
      <c r="D11" s="63" t="n">
        <v>4</v>
      </c>
      <c r="E11" s="64">
        <f>3.5%*620.2</f>
        <v/>
      </c>
      <c r="F11" s="64">
        <f>D11*E11</f>
        <v/>
      </c>
    </row>
    <row r="12" ht="12.75" customFormat="1" customHeight="1" s="44">
      <c r="A12" s="57" t="inlineStr">
        <is>
          <t>1.2.</t>
        </is>
      </c>
      <c r="B12" s="57" t="n"/>
      <c r="C12" s="62" t="n"/>
      <c r="D12" s="65" t="n"/>
      <c r="E12" s="64" t="n"/>
      <c r="F12" s="64">
        <f>D12*E12</f>
        <v/>
      </c>
    </row>
    <row r="13" ht="12.75" customFormat="1" customHeight="1" s="44">
      <c r="A13" s="57" t="n"/>
      <c r="B13" s="66" t="inlineStr">
        <is>
          <t>Общо по т.1</t>
        </is>
      </c>
      <c r="C13" s="59" t="n"/>
      <c r="D13" s="59" t="n"/>
      <c r="E13" s="59" t="n"/>
      <c r="F13" s="64">
        <f>SUM(F11+F12)</f>
        <v/>
      </c>
    </row>
    <row r="14" ht="12.75" customFormat="1" customHeight="1" s="44">
      <c r="A14" s="67" t="inlineStr">
        <is>
          <t>2.</t>
        </is>
      </c>
      <c r="B14" s="68" t="inlineStr">
        <is>
          <t>Режийни разноски (10% от т.1)</t>
        </is>
      </c>
      <c r="C14" s="59" t="n"/>
      <c r="D14" s="59" t="n"/>
      <c r="E14" s="59" t="n"/>
      <c r="F14" s="69">
        <f>F13*0.1</f>
        <v/>
      </c>
    </row>
    <row r="15" ht="12.75" customFormat="1" customHeight="1" s="44">
      <c r="A15" s="67" t="inlineStr">
        <is>
          <t>3.</t>
        </is>
      </c>
      <c r="B15" s="68" t="inlineStr">
        <is>
          <t>Разходи за консумативи/материали</t>
        </is>
      </c>
      <c r="C15" s="59" t="n"/>
      <c r="D15" s="59" t="n"/>
      <c r="E15" s="59" t="n"/>
      <c r="F15" s="69" t="n"/>
    </row>
    <row r="16" ht="12.75" customFormat="1" customHeight="1" s="44">
      <c r="A16" s="58" t="inlineStr">
        <is>
          <t>3.1.</t>
        </is>
      </c>
      <c r="B16" s="57" t="inlineStr">
        <is>
          <t xml:space="preserve"> Отпечатване (формат А4, черно-бяло)</t>
        </is>
      </c>
      <c r="C16" s="62" t="inlineStr">
        <is>
          <t>лист</t>
        </is>
      </c>
      <c r="D16" s="63" t="n">
        <v>2</v>
      </c>
      <c r="E16" s="64" t="n">
        <v>0.35</v>
      </c>
      <c r="F16" s="64">
        <f>D16*E16</f>
        <v/>
      </c>
    </row>
    <row r="17" ht="12.75" customFormat="1" customHeight="1" s="44">
      <c r="A17" s="58" t="inlineStr">
        <is>
          <t>3.2.</t>
        </is>
      </c>
      <c r="B17" s="57" t="inlineStr">
        <is>
          <t xml:space="preserve"> Отпечатване (формат А4, цветно)</t>
        </is>
      </c>
      <c r="C17" s="62" t="inlineStr">
        <is>
          <t>лист</t>
        </is>
      </c>
      <c r="D17" s="63" t="n">
        <v>2</v>
      </c>
      <c r="E17" s="64" t="n">
        <v>1</v>
      </c>
      <c r="F17" s="64">
        <f>D17*E17</f>
        <v/>
      </c>
    </row>
    <row r="18" ht="12.75" customFormat="1" customHeight="1" s="44">
      <c r="A18" s="58" t="inlineStr">
        <is>
          <t>3.3.</t>
        </is>
      </c>
      <c r="B18" s="57" t="inlineStr">
        <is>
          <t xml:space="preserve"> Отпечатване (формат А3, черно-бяло)</t>
        </is>
      </c>
      <c r="C18" s="62" t="inlineStr">
        <is>
          <t>лист</t>
        </is>
      </c>
      <c r="D18" s="63" t="n">
        <v>2</v>
      </c>
      <c r="E18" s="64" t="n">
        <v>0.35</v>
      </c>
      <c r="F18" s="64">
        <f>D18*E18</f>
        <v/>
      </c>
    </row>
    <row r="19" ht="24.75" customFormat="1" customHeight="1" s="44">
      <c r="A19" s="58" t="inlineStr">
        <is>
          <t>3.4.</t>
        </is>
      </c>
      <c r="B19" s="58" t="inlineStr">
        <is>
          <t xml:space="preserve"> Ръкавици, дезинфектант и маска за извършване на оглед на местопроизшествие</t>
        </is>
      </c>
      <c r="C19" s="62" t="n"/>
      <c r="D19" s="63" t="n">
        <v>1</v>
      </c>
      <c r="E19" s="64" t="n">
        <v>1</v>
      </c>
      <c r="F19" s="64">
        <f>D19*E19</f>
        <v/>
      </c>
    </row>
    <row r="20" ht="12.75" customFormat="1" customHeight="1" s="44">
      <c r="A20" s="58" t="inlineStr">
        <is>
          <t>3.4.</t>
        </is>
      </c>
      <c r="B20" s="57" t="n"/>
      <c r="C20" s="62" t="n"/>
      <c r="D20" s="62" t="n"/>
      <c r="E20" s="64" t="n"/>
      <c r="F20" s="64" t="n"/>
    </row>
    <row r="21" ht="12.75" customFormat="1" customHeight="1" s="44">
      <c r="A21" s="57" t="n"/>
      <c r="B21" s="66" t="inlineStr">
        <is>
          <t>Общо по т.3</t>
        </is>
      </c>
      <c r="C21" s="59" t="n"/>
      <c r="D21" s="59" t="n"/>
      <c r="E21" s="59" t="n"/>
      <c r="F21" s="64">
        <f>SUM(F16:F20)</f>
        <v/>
      </c>
    </row>
    <row r="22" ht="12.75" customFormat="1" customHeight="1" s="44">
      <c r="A22" s="57" t="inlineStr">
        <is>
          <t>4.</t>
        </is>
      </c>
      <c r="B22" s="58" t="inlineStr">
        <is>
          <t>* Добавки за:</t>
        </is>
      </c>
      <c r="C22" s="59" t="n"/>
      <c r="D22" s="59" t="n"/>
      <c r="E22" s="60" t="n"/>
      <c r="F22" s="64" t="n"/>
    </row>
    <row r="23" ht="12.75" customFormat="1" customHeight="1" s="44">
      <c r="A23" s="57" t="n"/>
      <c r="B23" s="58" t="inlineStr">
        <is>
          <t>Положен труд в почивни дни</t>
        </is>
      </c>
      <c r="C23" s="62" t="inlineStr">
        <is>
          <t>час</t>
        </is>
      </c>
      <c r="D23" s="65" t="n"/>
      <c r="E23" s="64">
        <f>E11*0.5</f>
        <v/>
      </c>
      <c r="F23" s="64">
        <f>D23*E23</f>
        <v/>
      </c>
    </row>
    <row r="24" ht="12.75" customFormat="1" customHeight="1" s="44">
      <c r="A24" s="57" t="n"/>
      <c r="B24" s="58" t="inlineStr">
        <is>
          <t>Положен труд през дни на официални празници</t>
        </is>
      </c>
      <c r="C24" s="62" t="inlineStr">
        <is>
          <t>час</t>
        </is>
      </c>
      <c r="D24" s="65" t="n"/>
      <c r="E24" s="64">
        <f>E11*1</f>
        <v/>
      </c>
      <c r="F24" s="64">
        <f>D24*E24</f>
        <v/>
      </c>
    </row>
    <row r="25" ht="12.75" customFormat="1" customHeight="1" s="44">
      <c r="A25" s="57" t="n"/>
      <c r="B25" s="58" t="inlineStr">
        <is>
          <t>За особено сложна и специфична експертиза</t>
        </is>
      </c>
      <c r="C25" s="62" t="n"/>
      <c r="D25" s="65" t="n"/>
      <c r="E25" s="70" t="n"/>
      <c r="F25" s="64">
        <f>D25*E25</f>
        <v/>
      </c>
    </row>
    <row r="26" ht="12.75" customFormat="1" customHeight="1" s="44">
      <c r="A26" s="57" t="n"/>
      <c r="B26" s="66" t="inlineStr">
        <is>
          <t>Общо по т.4</t>
        </is>
      </c>
      <c r="C26" s="59" t="n"/>
      <c r="D26" s="59" t="n"/>
      <c r="E26" s="59" t="n"/>
      <c r="F26" s="64">
        <f>SUM(F23+F24+F25)</f>
        <v/>
      </c>
    </row>
    <row r="27" ht="15" customFormat="1" customHeight="1" s="44">
      <c r="A27" s="57" t="inlineStr">
        <is>
          <t>5.</t>
        </is>
      </c>
      <c r="B27" s="58" t="inlineStr">
        <is>
          <t>ОБЩА СТОЙНОСТ 1+2+3+4:</t>
        </is>
      </c>
      <c r="C27" s="59" t="n"/>
      <c r="D27" s="59" t="n"/>
      <c r="E27" s="60" t="n"/>
      <c r="F27" s="64">
        <f>SUM(F13+F14+F21+F26)</f>
        <v/>
      </c>
    </row>
    <row r="28" ht="12.75" customHeight="1" s="52">
      <c r="A28" s="71" t="inlineStr">
        <is>
          <t xml:space="preserve">          * Добавките по т. 4 се калкулират на база на разходите за труд по т. 1.</t>
        </is>
      </c>
      <c r="B28" s="72" t="n"/>
      <c r="C28" s="72" t="n"/>
      <c r="D28" s="72" t="n"/>
      <c r="E28" s="72" t="n"/>
      <c r="F28" s="72" t="n"/>
    </row>
    <row r="29" ht="7.5" customHeight="1" s="52">
      <c r="A29" s="73" t="n"/>
    </row>
    <row r="30" ht="30" customHeight="1" s="52">
      <c r="A30" s="74" t="inlineStr">
        <is>
          <t xml:space="preserve">         Обща стойност (словом): ……………………………………….……………………………..… …………………………………………………………………………………………………………….</t>
        </is>
      </c>
    </row>
    <row r="31" ht="30" customHeight="1" s="52">
      <c r="A31" s="75" t="inlineStr">
        <is>
          <r>
            <rPr>
              <rFont val="Times New Roman"/>
              <charset val="204"/>
              <family val="1"/>
              <sz val="12"/>
            </rPr>
            <t xml:space="preserve">         Сумата да бъде преведена по сметка с IBAN № </t>
          </r>
          <r>
            <rPr>
              <rFont val="Times New Roman"/>
              <charset val="204"/>
              <family val="1"/>
              <sz val="12"/>
            </rPr>
            <t>BG96UBBS80023112509310</t>
          </r>
          <r>
            <rPr>
              <rFont val="Times New Roman"/>
              <charset val="204"/>
              <family val="1"/>
              <sz val="12"/>
            </rPr>
            <t xml:space="preserve">, при банка </t>
          </r>
          <r>
            <rPr>
              <rFont val="Times New Roman"/>
              <charset val="204"/>
              <family val="1"/>
              <sz val="12"/>
            </rPr>
            <t>ОББ-АД – клон Плевен</t>
          </r>
          <r>
            <rPr>
              <rFont val="Times New Roman"/>
              <charset val="204"/>
              <family val="1"/>
              <sz val="12"/>
            </rPr>
            <t xml:space="preserve"> в 30 дневен срок от датата на приемането на експертизата.</t>
          </r>
        </is>
      </c>
    </row>
    <row r="32" ht="45" customHeight="1" s="52">
      <c r="A32" s="75" t="inlineStr">
        <is>
          <t xml:space="preserve">         Моля, при заплащане на задълженията Ви към МВР за изготвени експертизи, при иницииране на платежен документ, в основанието да се посочва рег. № на сметката и № на протокола от изследването.</t>
        </is>
      </c>
    </row>
    <row r="33" ht="7.5" customHeight="1" s="52">
      <c r="A33" s="76" t="n"/>
    </row>
    <row r="34" ht="15" customHeight="1" s="52">
      <c r="A34" s="77" t="inlineStr">
        <is>
          <t>Отп:  в 4 екз.</t>
        </is>
      </c>
    </row>
    <row r="35" ht="12.75" customHeight="1" s="52">
      <c r="A35" s="49" t="inlineStr">
        <is>
          <t>Екз.№1 – Деловодство</t>
        </is>
      </c>
    </row>
    <row r="36" ht="12.75" customHeight="1" s="52">
      <c r="A36" s="49" t="inlineStr">
        <is>
          <t>Екз.№2 – Възложител</t>
        </is>
      </c>
    </row>
    <row r="37" ht="12.75" customHeight="1" s="52">
      <c r="A37" s="49" t="inlineStr">
        <is>
          <r>
            <rPr>
              <rFont val="Times New Roman"/>
              <charset val="204"/>
              <family val="1"/>
              <sz val="12"/>
            </rPr>
            <t xml:space="preserve">Екз.№3 – Възложител </t>
          </r>
          <r>
            <rPr>
              <rFont val="Times New Roman"/>
              <charset val="204"/>
              <family val="1"/>
              <sz val="10"/>
            </rPr>
            <t>(без приложение)</t>
          </r>
        </is>
      </c>
    </row>
    <row r="38" ht="12.75" customHeight="1" s="52">
      <c r="A38" s="49" t="inlineStr">
        <is>
          <r>
            <rPr>
              <rFont val="Times New Roman"/>
              <charset val="204"/>
              <family val="1"/>
              <sz val="12"/>
            </rPr>
            <t xml:space="preserve">Екз.№4 – ФО </t>
          </r>
          <r>
            <rPr>
              <rFont val="Times New Roman"/>
              <charset val="204"/>
              <family val="1"/>
              <sz val="10"/>
            </rPr>
            <t>(без приложение)</t>
          </r>
        </is>
      </c>
    </row>
    <row r="39" ht="7.5" customHeight="1" s="52">
      <c r="A39" s="76" t="n"/>
    </row>
    <row r="40" ht="15" customHeight="1" s="52">
      <c r="A40" s="76" t="inlineStr">
        <is>
          <r>
            <rPr>
              <rFont val="Times New Roman"/>
              <charset val="204"/>
              <family val="1"/>
              <sz val="12"/>
            </rPr>
            <t>Приложение:</t>
          </r>
          <r>
            <rPr>
              <rFont val="Times New Roman"/>
              <charset val="204"/>
              <family val="1"/>
              <sz val="12"/>
            </rPr>
            <t xml:space="preserve"> Експертиза – 1 бр.</t>
          </r>
        </is>
      </c>
    </row>
    <row r="41" ht="13.5" customHeight="1" s="52">
      <c r="A41" s="76" t="n"/>
      <c r="B41" s="76" t="n"/>
      <c r="C41" s="76" t="n"/>
      <c r="D41" s="76" t="n"/>
      <c r="E41" s="76" t="n"/>
      <c r="F41" s="76" t="n"/>
    </row>
    <row r="42" ht="15" customHeight="1" s="52">
      <c r="A42" s="78" t="inlineStr">
        <is>
          <t>Изготвил:</t>
        </is>
      </c>
      <c r="C42" s="79" t="n"/>
      <c r="D42" s="76" t="inlineStr">
        <is>
          <t>ДИРЕКТОР:</t>
        </is>
      </c>
      <c r="E42" s="76" t="n"/>
      <c r="F42" s="76" t="n"/>
    </row>
    <row r="43" ht="15" customHeight="1" s="52">
      <c r="A43" s="80" t="inlineStr">
        <is>
          <t>/ инспектор Х.Ххххххххххх /</t>
        </is>
      </c>
      <c r="C43" s="79" t="n"/>
      <c r="D43" s="76" t="inlineStr">
        <is>
          <t>РДПБЗН – ПЛЕВЕН</t>
        </is>
      </c>
      <c r="E43" s="76" t="n"/>
      <c r="F43" s="76" t="n"/>
    </row>
    <row r="44" ht="15" customFormat="1" customHeight="1" s="44">
      <c r="A44" s="78" t="inlineStr">
        <is>
          <t>гр. Плевен</t>
        </is>
      </c>
      <c r="C44" s="81" t="n"/>
      <c r="D44" s="49" t="inlineStr">
        <is>
          <t>[ЗВАНИЕ]</t>
        </is>
      </c>
      <c r="E44" s="49" t="n"/>
      <c r="F44" s="49" t="n"/>
    </row>
    <row r="45" ht="15" customHeight="1" s="52">
      <c r="A45" s="78" t="inlineStr">
        <is>
          <t>……....20…..г.</t>
        </is>
      </c>
      <c r="C45" s="79" t="n"/>
      <c r="D45" s="82" t="inlineStr">
        <is>
          <t xml:space="preserve">   [Име Фамилия]</t>
        </is>
      </c>
    </row>
    <row r="46" ht="15" customHeight="1" s="52">
      <c r="A46" s="82" t="n"/>
      <c r="C46" s="79" t="n"/>
      <c r="D46" s="82" t="n"/>
    </row>
    <row r="47" ht="15" customHeight="1" s="52">
      <c r="A47" s="78" t="n"/>
      <c r="C47" s="79" t="n"/>
      <c r="D47" s="82" t="n"/>
    </row>
  </sheetData>
  <mergeCells count="37">
    <mergeCell ref="A37:F37"/>
    <mergeCell ref="A45:B45"/>
    <mergeCell ref="B15:E15"/>
    <mergeCell ref="D47:F47"/>
    <mergeCell ref="A2:F2"/>
    <mergeCell ref="B26:E26"/>
    <mergeCell ref="A33:F33"/>
    <mergeCell ref="A32:F32"/>
    <mergeCell ref="A8:F8"/>
    <mergeCell ref="A46:B46"/>
    <mergeCell ref="A35:F35"/>
    <mergeCell ref="A29:F29"/>
    <mergeCell ref="B22:E22"/>
    <mergeCell ref="A38:F38"/>
    <mergeCell ref="B27:E27"/>
    <mergeCell ref="A28:F28"/>
    <mergeCell ref="B21:E21"/>
    <mergeCell ref="A5:B5"/>
    <mergeCell ref="A31:F31"/>
    <mergeCell ref="A42:B42"/>
    <mergeCell ref="A47:B47"/>
    <mergeCell ref="A34:F34"/>
    <mergeCell ref="A40:F40"/>
    <mergeCell ref="A30:F30"/>
    <mergeCell ref="A39:F39"/>
    <mergeCell ref="B14:E14"/>
    <mergeCell ref="A4:B4"/>
    <mergeCell ref="A36:F36"/>
    <mergeCell ref="A43:B43"/>
    <mergeCell ref="B13:E13"/>
    <mergeCell ref="A1:F1"/>
    <mergeCell ref="D46:F46"/>
    <mergeCell ref="A6:F6"/>
    <mergeCell ref="A44:B44"/>
    <mergeCell ref="D45:F45"/>
    <mergeCell ref="B10:E10"/>
    <mergeCell ref="A7:F7"/>
  </mergeCells>
  <printOptions horizontalCentered="0" verticalCentered="0" headings="0" gridLines="0" gridLinesSet="1"/>
  <pageMargins left="0.39375" right="0.39375" top="0.39375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2007-08-23T15:53:59Z</dcterms:created>
  <dcterms:modified xmlns:dcterms="http://purl.org/dc/terms/" xmlns:xsi="http://www.w3.org/2001/XMLSchema-instance" xsi:type="dcterms:W3CDTF">2026-10-19T11:04:42Z</dcterms:modified>
  <cp:revision>0</cp:revision>
  <cp:lastPrinted>2026-08-13T08:48:46Z</cp:lastPrinted>
</cp:coreProperties>
</file>